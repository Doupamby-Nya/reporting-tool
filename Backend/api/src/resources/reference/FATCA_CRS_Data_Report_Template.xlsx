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Jacques\Downloads\"/>
    </mc:Choice>
  </mc:AlternateContent>
  <xr:revisionPtr revIDLastSave="0" documentId="8_{DAB3B88D-AE00-4273-9EB0-8A08644191CB}" xr6:coauthVersionLast="47" xr6:coauthVersionMax="47" xr10:uidLastSave="{00000000-0000-0000-0000-000000000000}"/>
  <bookViews>
    <workbookView xWindow="-120" yWindow="-16320" windowWidth="29040" windowHeight="15840" xr2:uid="{4B3BBD0F-2401-4203-84FE-FD43DC3FED0B}"/>
  </bookViews>
  <sheets>
    <sheet name="CPS" sheetId="1" r:id="rId1"/>
    <sheet name="Individual" sheetId="2" r:id="rId2"/>
    <sheet name="Active" sheetId="3" r:id="rId3"/>
    <sheet name="Country list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1" l="1"/>
  <c r="Y1" i="3"/>
  <c r="AB1" i="2"/>
  <c r="AI1" i="1"/>
  <c r="AM1" i="1"/>
  <c r="AL1" i="1"/>
  <c r="AK1" i="1"/>
  <c r="AJ1" i="1"/>
  <c r="AE1" i="3"/>
  <c r="AD1" i="3"/>
  <c r="AC1" i="3"/>
  <c r="AB1" i="3"/>
  <c r="AA1" i="3"/>
  <c r="AH1" i="2"/>
  <c r="AG1" i="2"/>
  <c r="AF1" i="2"/>
  <c r="AD1" i="2"/>
  <c r="AE1" i="2"/>
</calcChain>
</file>

<file path=xl/sharedStrings.xml><?xml version="1.0" encoding="utf-8"?>
<sst xmlns="http://schemas.openxmlformats.org/spreadsheetml/2006/main" count="331" uniqueCount="282">
  <si>
    <t>Name of Reporting Financial Institution (RFI)</t>
  </si>
  <si>
    <t>Luxembourg TIN of RFI</t>
  </si>
  <si>
    <t>Address of RFI</t>
  </si>
  <si>
    <t>code Postal and country of RFI</t>
  </si>
  <si>
    <t>Name of point of contact (POC) of RFI</t>
  </si>
  <si>
    <t>E-mail of POC of RFI</t>
  </si>
  <si>
    <t>Phone number of POC of RFI</t>
  </si>
  <si>
    <t>Reporting period</t>
  </si>
  <si>
    <t>Data notification</t>
  </si>
  <si>
    <t>TIN passive NFE</t>
  </si>
  <si>
    <t>Tax residence of CP</t>
  </si>
  <si>
    <t>TIN of CP</t>
  </si>
  <si>
    <t>Country of residence of CP</t>
  </si>
  <si>
    <t>Address of CP</t>
  </si>
  <si>
    <t>Zip code</t>
  </si>
  <si>
    <t>E-mail address for Specific Data protection notification</t>
  </si>
  <si>
    <t>Telephone number</t>
  </si>
  <si>
    <t>Place of birth</t>
  </si>
  <si>
    <t>Date of Birth</t>
  </si>
  <si>
    <t>US TIN of account holder/CP, if applicable</t>
  </si>
  <si>
    <t>Type of control exercised by CP</t>
  </si>
  <si>
    <t>Self-certification inconsistencies</t>
  </si>
  <si>
    <t>Currency</t>
  </si>
  <si>
    <t>TIN PP</t>
  </si>
  <si>
    <t>Name of PP</t>
  </si>
  <si>
    <t>Adress of PP</t>
  </si>
  <si>
    <t>Name of Active</t>
  </si>
  <si>
    <t>Country of residence of active</t>
  </si>
  <si>
    <t>Date of Birth CP</t>
  </si>
  <si>
    <t>Place of birth CP</t>
  </si>
  <si>
    <t>Tax residence of PP</t>
  </si>
  <si>
    <t>Country of residence of PP</t>
  </si>
  <si>
    <t>TIN active NFE</t>
  </si>
  <si>
    <t>US TIN of account holder, if applicable</t>
  </si>
  <si>
    <t>Account Number of account holder /CP</t>
  </si>
  <si>
    <t>Tax residence of AH</t>
  </si>
  <si>
    <t>Name of CP</t>
  </si>
  <si>
    <t>Type of account</t>
  </si>
  <si>
    <t>Dormant Account</t>
  </si>
  <si>
    <t>Undocumented Account</t>
  </si>
  <si>
    <t>First Name of point of contact (POC) of RFI</t>
  </si>
  <si>
    <t>Account Number of account holder</t>
  </si>
  <si>
    <t>Surname of PP</t>
  </si>
  <si>
    <t>Afghanistan</t>
  </si>
  <si>
    <t>Algeria</t>
  </si>
  <si>
    <t>Angola</t>
  </si>
  <si>
    <t>Armenia</t>
  </si>
  <si>
    <t>Bahamas</t>
  </si>
  <si>
    <t>Bahrain</t>
  </si>
  <si>
    <t>Bangladesh</t>
  </si>
  <si>
    <t>Belarus</t>
  </si>
  <si>
    <t>Benin</t>
  </si>
  <si>
    <t>Bhutan</t>
  </si>
  <si>
    <t>Bolivia, Plurinational State of</t>
  </si>
  <si>
    <t>Bosnia and Herzegovina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</si>
  <si>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</si>
  <si>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</si>
  <si>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</si>
  <si>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</si>
  <si>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</si>
  <si>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</si>
  <si>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</si>
  <si>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</si>
  <si>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</si>
  <si>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</si>
  <si>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Congo, Democratic Republic of the</t>
  </si>
  <si>
    <t>Côte d'Ivoire</t>
  </si>
  <si>
    <t>Cuba</t>
  </si>
  <si>
    <t>Djibouti</t>
  </si>
  <si>
    <t>Dominican Republic</t>
  </si>
  <si>
    <t>Egypt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</si>
  <si>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</si>
  <si>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</si>
  <si>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</si>
  <si>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</si>
  <si>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</si>
  <si>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</si>
  <si>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</si>
  <si>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</t>
  </si>
  <si>
    <t>Guatemala</t>
  </si>
  <si>
    <t>Guinea</t>
  </si>
  <si>
    <t>Guinea-Bissau</t>
  </si>
  <si>
    <t>Guyana</t>
  </si>
  <si>
    <t>Haiti</t>
  </si>
  <si>
    <t>Honduras</t>
  </si>
  <si>
    <t>Iran, Islamic Republic of</t>
  </si>
  <si>
    <t>Iraq</t>
  </si>
  <si>
    <t>Jersey</t>
  </si>
  <si>
    <t>Jordan</t>
  </si>
  <si>
    <t>Kiribati</t>
  </si>
  <si>
    <t>Kuwait</t>
  </si>
  <si>
    <t>Kyrgyzstan</t>
  </si>
  <si>
    <t>Lao People's Democratic Republic</t>
  </si>
  <si>
    <t>Lesotho</t>
  </si>
  <si>
    <t>Libya</t>
  </si>
  <si>
    <t>Madagascar</t>
  </si>
  <si>
    <t>Malawi</t>
  </si>
  <si>
    <t>Mali</t>
  </si>
  <si>
    <t>Marshall Islands</t>
  </si>
  <si>
    <t>Mauritania</t>
  </si>
  <si>
    <t>Micronesia, Federated States of</t>
  </si>
  <si>
    <t>Mongolia</t>
  </si>
  <si>
    <t>Mozambique</t>
  </si>
  <si>
    <t>Myanmar</t>
  </si>
  <si>
    <t>Namibia</t>
  </si>
  <si>
    <t>Nauru</t>
  </si>
  <si>
    <t>Nepal</t>
  </si>
  <si>
    <t>Nicaragua</t>
  </si>
  <si>
    <t>Niger</t>
  </si>
  <si>
    <t>Korea, Democratic People's Republic of</t>
  </si>
  <si>
    <t>North Macedonia</t>
  </si>
  <si>
    <t>Palau</t>
  </si>
  <si>
    <t>Papua New Guinea</t>
  </si>
  <si>
    <t>Paraguay</t>
  </si>
  <si>
    <t>Philippines</t>
  </si>
  <si>
    <t>Qatar</t>
  </si>
  <si>
    <t>Rwanda</t>
  </si>
  <si>
    <t>Sao Tome and Principe</t>
  </si>
  <si>
    <t>Senegal</t>
  </si>
  <si>
    <t>Serbia</t>
  </si>
  <si>
    <t>Sierra Leone</t>
  </si>
  <si>
    <t>Solomon Islands</t>
  </si>
  <si>
    <t>Somalia</t>
  </si>
  <si>
    <t>South Sudan</t>
  </si>
  <si>
    <t>Sri Lanka</t>
  </si>
  <si>
    <t>Sudan</t>
  </si>
  <si>
    <t>Suriname</t>
  </si>
  <si>
    <t>Syrian Arab Republic</t>
  </si>
  <si>
    <t>Tajikistan</t>
  </si>
  <si>
    <t>Tanzania, United Republic of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</si>
  <si>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</si>
  <si>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</si>
  <si>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</si>
  <si>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</si>
  <si>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</si>
  <si>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</si>
  <si>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</si>
  <si>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United Arab Emirates</t>
  </si>
  <si>
    <t>United States of America</t>
  </si>
  <si>
    <t>Uzbekistan</t>
  </si>
  <si>
    <t>Venezuela, Bolivarian Republic of</t>
  </si>
  <si>
    <t>Viet Nam</t>
  </si>
  <si>
    <t>Yemen</t>
  </si>
  <si>
    <t>Zambia</t>
  </si>
  <si>
    <t>Zimbabwe</t>
  </si>
  <si>
    <t>Anguilla</t>
  </si>
  <si>
    <t>Bermuda</t>
  </si>
  <si>
    <t>Cayman Islands</t>
  </si>
  <si>
    <t>Saint Barthelemy</t>
  </si>
  <si>
    <t>Turks and Caicos Islands</t>
  </si>
  <si>
    <t>South Africa</t>
  </si>
  <si>
    <t>Germany</t>
  </si>
  <si>
    <t>Argentina</t>
  </si>
  <si>
    <t>Austria</t>
  </si>
  <si>
    <t>Barbados</t>
  </si>
  <si>
    <t>Belgium</t>
  </si>
  <si>
    <t>Bulgaria</t>
  </si>
  <si>
    <t>Cyprus</t>
  </si>
  <si>
    <t>Colombia</t>
  </si>
  <si>
    <t>Korea, Republic of</t>
  </si>
  <si>
    <t>Croatia</t>
  </si>
  <si>
    <t>Curaçao</t>
  </si>
  <si>
    <t>Denmark</t>
  </si>
  <si>
    <t>Spain</t>
  </si>
  <si>
    <t>Estonia</t>
  </si>
  <si>
    <t>Finland</t>
  </si>
  <si>
    <t>France</t>
  </si>
  <si>
    <t>Gibraltar</t>
  </si>
  <si>
    <t>Greece</t>
  </si>
  <si>
    <t>Greenland</t>
  </si>
  <si>
    <t>Guernsey</t>
  </si>
  <si>
    <t>Hungary</t>
  </si>
  <si>
    <t>Isle of Man</t>
  </si>
  <si>
    <t>Faroe Islands</t>
  </si>
  <si>
    <t>India</t>
  </si>
  <si>
    <t>Ireland</t>
  </si>
  <si>
    <t>Iceland</t>
  </si>
  <si>
    <t>Italy</t>
  </si>
  <si>
    <t>Latvia</t>
  </si>
  <si>
    <t>Liechtenstein</t>
  </si>
  <si>
    <t>Lithuania</t>
  </si>
  <si>
    <t>Malta</t>
  </si>
  <si>
    <t>Mexico</t>
  </si>
  <si>
    <t>Montserrat</t>
  </si>
  <si>
    <t>Niue</t>
  </si>
  <si>
    <t>Norway</t>
  </si>
  <si>
    <t>Netherlands, Kingdom of the</t>
  </si>
  <si>
    <t>Poland</t>
  </si>
  <si>
    <t>Portugal</t>
  </si>
  <si>
    <t>Slovakia</t>
  </si>
  <si>
    <t>Czech Republic</t>
  </si>
  <si>
    <t>Romania</t>
  </si>
  <si>
    <t>United Kingdom</t>
  </si>
  <si>
    <t>San Marino</t>
  </si>
  <si>
    <t>Seychelles</t>
  </si>
  <si>
    <t>Slovenia</t>
  </si>
  <si>
    <t>Sweden</t>
  </si>
  <si>
    <t>Andorra</t>
  </si>
  <si>
    <t>Antigua and Barbuda</t>
  </si>
  <si>
    <t>Saudi Arabia</t>
  </si>
  <si>
    <t>Aruba</t>
  </si>
  <si>
    <t>Australia</t>
  </si>
  <si>
    <t>Azerbaijan</t>
  </si>
  <si>
    <t>Belize</t>
  </si>
  <si>
    <t>Brazil</t>
  </si>
  <si>
    <t>Canada</t>
  </si>
  <si>
    <t>Chile</t>
  </si>
  <si>
    <t>China</t>
  </si>
  <si>
    <t>Costa Rica</t>
  </si>
  <si>
    <t>Ghana</t>
  </si>
  <si>
    <t>Grenada</t>
  </si>
  <si>
    <t>Hong Kong</t>
  </si>
  <si>
    <t>Cook Islands</t>
  </si>
  <si>
    <t>Indonesia</t>
  </si>
  <si>
    <t>Israel</t>
  </si>
  <si>
    <t>Japan</t>
  </si>
  <si>
    <t>Lebanon</t>
  </si>
  <si>
    <t>Macao</t>
  </si>
  <si>
    <t>Malaysia</t>
  </si>
  <si>
    <t>Mauritius</t>
  </si>
  <si>
    <t>Monaco</t>
  </si>
  <si>
    <t>New Zealand</t>
  </si>
  <si>
    <t>Pakistan</t>
  </si>
  <si>
    <t>Panama</t>
  </si>
  <si>
    <t>Russian Federation</t>
  </si>
  <si>
    <t>Saint Kitts and Nevis</t>
  </si>
  <si>
    <t>Saint Lucia</t>
  </si>
  <si>
    <t>Saint Martin</t>
  </si>
  <si>
    <t>Saint Vincent and the Grenadines</t>
  </si>
  <si>
    <t>Samoa</t>
  </si>
  <si>
    <t>Singapore</t>
  </si>
  <si>
    <t>Switzerland</t>
  </si>
  <si>
    <t>Turkey</t>
  </si>
  <si>
    <t>Uruguay</t>
  </si>
  <si>
    <t>Vanuatu</t>
  </si>
  <si>
    <t>Nigeria</t>
  </si>
  <si>
    <t>Albania</t>
  </si>
  <si>
    <t>Dominica</t>
  </si>
  <si>
    <t>Ecuador</t>
  </si>
  <si>
    <t>Kazakhstan</t>
  </si>
  <si>
    <t>Liberia</t>
  </si>
  <si>
    <t>Oman</t>
  </si>
  <si>
    <t>Brunei Darussalam</t>
  </si>
  <si>
    <t>Morocco</t>
  </si>
  <si>
    <t>New Caledonia</t>
  </si>
  <si>
    <t>Peru</t>
  </si>
  <si>
    <t>Kenya</t>
  </si>
  <si>
    <t>Maldives</t>
  </si>
  <si>
    <t>Jamaica</t>
  </si>
  <si>
    <t>Moldova, Republic of</t>
  </si>
  <si>
    <t>Montenegro</t>
  </si>
  <si>
    <t>Uganda</t>
  </si>
  <si>
    <t>Thailand</t>
  </si>
  <si>
    <t>Georgia</t>
  </si>
  <si>
    <t>Ukraine</t>
  </si>
  <si>
    <t>Luxembourg</t>
  </si>
  <si>
    <t>false</t>
  </si>
  <si>
    <t>Name of AH</t>
  </si>
  <si>
    <t>Adress of passive NFE</t>
  </si>
  <si>
    <t>Tax residence of Active</t>
  </si>
  <si>
    <t>Adress of Active NFE</t>
  </si>
  <si>
    <t>First Name of CP</t>
  </si>
  <si>
    <t>GIIN of RFI</t>
  </si>
  <si>
    <t>OECD601 - IBAN - International Bank Account Number</t>
  </si>
  <si>
    <t>OECD602 - OBAN - Other Bank Account Number</t>
  </si>
  <si>
    <t>OECD603 - ISIN - International Securities Identification Number</t>
  </si>
  <si>
    <t>OECD604 - OSIN - Other Securities Identification Number</t>
  </si>
  <si>
    <t>OECD605 - Other</t>
  </si>
  <si>
    <t>-</t>
  </si>
  <si>
    <t>CRS801 - CP of legal person - ownership</t>
  </si>
  <si>
    <t>CRS802 - CP of legal person - other means</t>
  </si>
  <si>
    <t>CRS803 - CP of legal person - senior managing official</t>
  </si>
  <si>
    <t>CRS804 - CP of legal arrangement - trust - settlor</t>
  </si>
  <si>
    <t>CRS805 - CP of legal arrangement - trust - trustee</t>
  </si>
  <si>
    <t>CRS806 - CP of legal arrangement - trust - protector</t>
  </si>
  <si>
    <t>CRS807 - CP of legal arrangement - trust - beneficiary</t>
  </si>
  <si>
    <t>CRS808 - CP of legal arrangement - trust - other</t>
  </si>
  <si>
    <t>CRS809 - CP of legal arrangement - other - settlor-equivalent</t>
  </si>
  <si>
    <t>CRS810 - CP of legal arrangement - other - trustee-equivalent</t>
  </si>
  <si>
    <t>CRS811 - CP of legal arrangement - other - protector-equivalent</t>
  </si>
  <si>
    <t>CRS812 - CP of legal arrangement - other - beneficiary-equivalent</t>
  </si>
  <si>
    <t>CRS813 - CP of legal arrangement - other - other-equivalent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</si>
</sst>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* #,##0.00&quot; &quot;;&quot;-&quot;* #,##0.00&quot; &quot;;&quot; &quot;* &quot;-&quot;#&quot; &quot;;&quot; &quot;@&quot; &quot;"/>
  </numFmts>
  <fonts count="10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9C57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rgb="FF467886"/>
      <name val="Arial"/>
      <family val="2"/>
    </font>
    <font>
      <sz val="8"/>
      <name val="Aptos Narrow"/>
      <family val="2"/>
    </font>
    <font>
      <sz val="10"/>
      <color rgb="FF9C570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B8D3EF"/>
        <bgColor rgb="FFB8D3EF"/>
      </patternFill>
    </fill>
    <fill>
      <patternFill patternType="solid">
        <fgColor rgb="FFF7C7AC"/>
        <bgColor rgb="FFF7C7AC"/>
      </patternFill>
    </fill>
    <fill>
      <patternFill patternType="solid">
        <fgColor theme="5" tint="0.79998168889431442"/>
        <bgColor rgb="FFB8D3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Border="0" applyProtection="0"/>
  </cellStyleXfs>
  <cellXfs count="30">
    <xf numFmtId="0" fontId="0" fillId="0" borderId="0" xfId="0"/>
    <xf numFmtId="0" fontId="4" fillId="3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5" borderId="1" xfId="5" applyFont="1" applyFill="1" applyBorder="1" applyProtection="1"/>
    <xf numFmtId="0" fontId="4" fillId="3" borderId="1" xfId="0" applyFont="1" applyFill="1" applyBorder="1"/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4" fillId="0" borderId="0" xfId="0" applyFont="1"/>
    <xf numFmtId="0" fontId="4" fillId="3" borderId="1" xfId="5" applyFont="1" applyFill="1" applyBorder="1" applyAlignment="1" applyProtection="1">
      <alignment wrapText="1"/>
    </xf>
    <xf numFmtId="0" fontId="4" fillId="3" borderId="1" xfId="5" applyFont="1" applyFill="1" applyBorder="1" applyProtection="1"/>
    <xf numFmtId="0" fontId="0" fillId="0" borderId="0" xfId="0" applyAlignment="1">
      <alignment vertical="center" wrapText="1"/>
    </xf>
    <xf numFmtId="0" fontId="6" fillId="0" borderId="1" xfId="2" applyFont="1" applyFill="1" applyBorder="1"/>
    <xf numFmtId="0" fontId="4" fillId="0" borderId="1" xfId="0" applyFont="1" applyBorder="1" applyAlignment="1">
      <alignment vertical="center"/>
    </xf>
    <xf numFmtId="0" fontId="4" fillId="0" borderId="1" xfId="5" applyFont="1" applyBorder="1" applyAlignment="1" applyProtection="1">
      <alignment vertical="center"/>
    </xf>
    <xf numFmtId="0" fontId="4" fillId="0" borderId="1" xfId="5" applyFont="1" applyBorder="1" applyAlignment="1" applyProtection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5" applyFont="1" applyBorder="1" applyAlignment="1" applyProtection="1">
      <alignment vertical="center"/>
    </xf>
    <xf numFmtId="0" fontId="2" fillId="0" borderId="1" xfId="2" applyFill="1" applyBorder="1" applyAlignment="1" applyProtection="1">
      <alignment vertical="center"/>
    </xf>
    <xf numFmtId="0" fontId="4" fillId="0" borderId="1" xfId="5" quotePrefix="1" applyFont="1" applyBorder="1" applyAlignment="1" applyProtection="1">
      <alignment vertical="center"/>
    </xf>
    <xf numFmtId="0" fontId="4" fillId="0" borderId="1" xfId="5" applyFont="1" applyBorder="1" applyProtection="1"/>
    <xf numFmtId="49" fontId="4" fillId="0" borderId="1" xfId="5" applyNumberFormat="1" applyFont="1" applyBorder="1" applyProtection="1"/>
    <xf numFmtId="49" fontId="9" fillId="0" borderId="1" xfId="5" applyNumberFormat="1" applyFont="1" applyBorder="1" applyProtection="1"/>
    <xf numFmtId="0" fontId="4" fillId="0" borderId="1" xfId="5" quotePrefix="1" applyFont="1" applyBorder="1" applyProtection="1"/>
    <xf numFmtId="0" fontId="4" fillId="0" borderId="1" xfId="0" applyFont="1" applyBorder="1"/>
    <xf numFmtId="0" fontId="4" fillId="0" borderId="1" xfId="5" quotePrefix="1" applyFont="1" applyBorder="1" applyAlignment="1" applyProtection="1">
      <alignment horizontal="right"/>
    </xf>
    <xf numFmtId="14" fontId="4" fillId="0" borderId="2" xfId="5" applyNumberFormat="1" applyFont="1" applyBorder="1" applyProtection="1"/>
    <xf numFmtId="13" fontId="4" fillId="0" borderId="1" xfId="5" quotePrefix="1" applyNumberFormat="1" applyFont="1" applyBorder="1" applyAlignment="1" applyProtection="1">
      <alignment horizontal="right"/>
    </xf>
    <xf numFmtId="14" fontId="4" fillId="0" borderId="1" xfId="0" applyNumberFormat="1" applyFont="1" applyBorder="1"/>
    <xf numFmtId="49" fontId="8" fillId="0" borderId="1" xfId="4" applyNumberFormat="1" applyFont="1" applyFill="1" applyBorder="1"/>
    <xf numFmtId="0" fontId="4" fillId="0" borderId="1" xfId="0" quotePrefix="1" applyFont="1" applyBorder="1"/>
  </cellXfs>
  <cellStyles count="6">
    <cellStyle name="Hyperlink" xfId="1" xr:uid="{5C2BAA8D-E742-435A-AE04-C9682FBEB97C}"/>
    <cellStyle name="Lien hypertexte" xfId="2" xr:uid="{605978E2-DC56-4C79-9BA2-00DC7DECFBC7}"/>
    <cellStyle name="Milliers 2" xfId="3" xr:uid="{66FD6F9C-07A1-4855-9321-E4A6DB93D21A}"/>
    <cellStyle name="Neutral" xfId="4" xr:uid="{9304986C-DE55-4223-9E63-C28CE708DBF7}"/>
    <cellStyle name="Normal" xfId="0" builtinId="0" customBuiltin="1"/>
    <cellStyle name="Normal 2" xfId="5" xr:uid="{84AE4CE6-5B5E-43FF-A3FB-3E08DC605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28A-BFF9-4C6E-8BDF-929EE7400ACC}">
  <dimension ref="A1:AM4"/>
  <sheetViews>
    <sheetView tabSelected="1" topLeftCell="Z1" zoomScale="115" zoomScaleNormal="115" workbookViewId="0">
      <selection activeCell="AE2" sqref="AE2"/>
    </sheetView>
  </sheetViews>
  <sheetFormatPr defaultColWidth="48.42578125" defaultRowHeight="15.75" customHeight="1" x14ac:dyDescent="0.25"/>
  <cols>
    <col min="1" max="1" width="14.5703125" style="7" bestFit="1" customWidth="1"/>
    <col min="2" max="2" width="38.42578125" style="7" bestFit="1" customWidth="1"/>
    <col min="3" max="3" width="20.140625" style="7" bestFit="1" customWidth="1"/>
    <col min="4" max="4" width="20.140625" style="7" customWidth="1"/>
    <col min="5" max="5" width="23.85546875" style="7" bestFit="1" customWidth="1"/>
    <col min="6" max="6" width="27.140625" style="7" bestFit="1" customWidth="1"/>
    <col min="7" max="7" width="27.140625" style="7" customWidth="1"/>
    <col min="8" max="8" width="33" style="7" bestFit="1" customWidth="1"/>
    <col min="9" max="9" width="18.5703125" style="7" bestFit="1" customWidth="1"/>
    <col min="10" max="10" width="25.5703125" style="7" bestFit="1" customWidth="1"/>
    <col min="11" max="11" width="14.42578125" style="7" bestFit="1" customWidth="1"/>
    <col min="12" max="12" width="34.140625" style="7" bestFit="1" customWidth="1"/>
    <col min="13" max="13" width="47.5703125" bestFit="1" customWidth="1"/>
    <col min="14" max="15" width="15" customWidth="1"/>
    <col min="16" max="16" width="14.85546875" style="7" bestFit="1" customWidth="1"/>
    <col min="17" max="17" width="23.28515625" style="7" bestFit="1" customWidth="1"/>
    <col min="18" max="18" width="37" style="7" bestFit="1" customWidth="1"/>
    <col min="19" max="19" width="18" style="7" bestFit="1" customWidth="1"/>
    <col min="20" max="20" width="27.140625" style="7" customWidth="1"/>
    <col min="21" max="21" width="33" style="7" bestFit="1" customWidth="1"/>
    <col min="22" max="22" width="18" style="7" bestFit="1" customWidth="1"/>
    <col min="23" max="23" width="12.140625" style="7" bestFit="1" customWidth="1"/>
    <col min="24" max="24" width="23.5703125" style="7" bestFit="1" customWidth="1"/>
    <col min="25" max="25" width="16" style="7" bestFit="1" customWidth="1"/>
    <col min="26" max="26" width="20.85546875" style="7" bestFit="1" customWidth="1"/>
    <col min="27" max="27" width="47" style="7" bestFit="1" customWidth="1"/>
    <col min="28" max="28" width="15.140625" style="7" bestFit="1" customWidth="1"/>
    <col min="29" max="29" width="14.5703125" style="7" bestFit="1" customWidth="1"/>
    <col min="30" max="30" width="36.42578125" style="7" bestFit="1" customWidth="1"/>
    <col min="31" max="31" width="65" style="7" customWidth="1"/>
    <col min="32" max="32" width="28.140625" style="7" bestFit="1" customWidth="1"/>
    <col min="33" max="33" width="31" style="7" bestFit="1" customWidth="1"/>
    <col min="34" max="34" width="9.140625" style="7" bestFit="1" customWidth="1"/>
    <col min="35" max="35" width="65.140625" style="7" bestFit="1" customWidth="1"/>
    <col min="36" max="36" width="20.7109375" style="7" bestFit="1" customWidth="1"/>
    <col min="37" max="37" width="34.42578125" style="7" bestFit="1" customWidth="1"/>
    <col min="38" max="38" width="27.5703125" style="7" bestFit="1" customWidth="1"/>
    <col min="39" max="39" width="25.85546875" style="7" bestFit="1" customWidth="1"/>
    <col min="40" max="16384" width="48.42578125" style="7"/>
  </cols>
  <sheetData>
    <row r="1" spans="1:39" ht="25.5" x14ac:dyDescent="0.2">
      <c r="A1" s="1" t="s">
        <v>7</v>
      </c>
      <c r="B1" s="1" t="s">
        <v>0</v>
      </c>
      <c r="C1" s="1" t="s">
        <v>1</v>
      </c>
      <c r="D1" s="1" t="s">
        <v>262</v>
      </c>
      <c r="E1" s="1" t="s">
        <v>2</v>
      </c>
      <c r="F1" s="1" t="s">
        <v>3</v>
      </c>
      <c r="G1" s="1" t="s">
        <v>4</v>
      </c>
      <c r="H1" s="1" t="s">
        <v>40</v>
      </c>
      <c r="I1" s="1" t="s">
        <v>5</v>
      </c>
      <c r="J1" s="1" t="s">
        <v>6</v>
      </c>
      <c r="K1" s="1" t="s">
        <v>8</v>
      </c>
      <c r="L1" s="1" t="s">
        <v>34</v>
      </c>
      <c r="M1" s="1" t="s">
        <v>37</v>
      </c>
      <c r="N1" s="1" t="s">
        <v>38</v>
      </c>
      <c r="O1" s="1" t="s">
        <v>39</v>
      </c>
      <c r="P1" s="2" t="s">
        <v>9</v>
      </c>
      <c r="Q1" s="3" t="s">
        <v>257</v>
      </c>
      <c r="R1" s="2" t="s">
        <v>258</v>
      </c>
      <c r="S1" s="2" t="s">
        <v>35</v>
      </c>
      <c r="T1" s="1" t="s">
        <v>36</v>
      </c>
      <c r="U1" s="1" t="s">
        <v>261</v>
      </c>
      <c r="V1" s="1" t="s">
        <v>10</v>
      </c>
      <c r="W1" s="1" t="s">
        <v>11</v>
      </c>
      <c r="X1" s="1" t="s">
        <v>12</v>
      </c>
      <c r="Y1" s="4" t="s">
        <v>13</v>
      </c>
      <c r="Z1" s="4" t="s">
        <v>14</v>
      </c>
      <c r="AA1" s="1" t="s">
        <v>15</v>
      </c>
      <c r="AB1" s="4" t="s">
        <v>29</v>
      </c>
      <c r="AC1" s="4" t="s">
        <v>28</v>
      </c>
      <c r="AD1" s="1" t="s">
        <v>19</v>
      </c>
      <c r="AE1" s="1" t="s">
        <v>20</v>
      </c>
      <c r="AF1" s="1" t="s">
        <v>21</v>
      </c>
      <c r="AG1" s="5" t="str">
        <f>_xlfn.CONCAT("Closed account in ",A2)</f>
        <v>Closed account in 2024</v>
      </c>
      <c r="AH1" s="6" t="s">
        <v>22</v>
      </c>
      <c r="AI1" s="5" t="str">
        <f>_xlfn.CONCAT("Account balance, i.e. sum of equity and debt interest as at 31.12.",A2)</f>
        <v>Account balance, i.e. sum of equity and debt interest as at 31.12.2024</v>
      </c>
      <c r="AJ1" s="5" t="str">
        <f>_xlfn.CONCAT("Proceeds during ",A2)</f>
        <v>Proceeds during 2024</v>
      </c>
      <c r="AK1" s="5" t="str">
        <f>_xlfn.CONCAT("Distributions (dividends) during ",A2)</f>
        <v>Distributions (dividends) during 2024</v>
      </c>
      <c r="AL1" s="5" t="str">
        <f>_xlfn.CONCAT("Interest paid/accrued in ",A2)</f>
        <v>Interest paid/accrued in 2024</v>
      </c>
      <c r="AM1" s="5" t="str">
        <f>_xlfn.CONCAT("Other paid/accrued in ",A2)</f>
        <v>Other paid/accrued in 2024</v>
      </c>
    </row>
    <row r="2" spans="1:39" ht="15.75" customHeight="1" x14ac:dyDescent="0.2">
      <c r="A2" s="12">
        <v>2024</v>
      </c>
      <c r="B2" s="13"/>
      <c r="C2" s="13"/>
      <c r="D2" s="13"/>
      <c r="E2" s="14"/>
      <c r="F2" s="15"/>
      <c r="G2" s="16"/>
      <c r="H2" s="16"/>
      <c r="I2" s="17"/>
      <c r="J2" s="18"/>
      <c r="K2" s="19"/>
      <c r="L2" s="20"/>
      <c r="M2" s="20" t="s">
        <v>268</v>
      </c>
      <c r="N2" s="21" t="s">
        <v>256</v>
      </c>
      <c r="O2" s="21" t="s">
        <v>256</v>
      </c>
      <c r="P2" s="22"/>
      <c r="Q2" s="19"/>
      <c r="R2" s="23"/>
      <c r="S2" s="19"/>
      <c r="T2" s="16"/>
      <c r="U2" s="16"/>
      <c r="V2" s="19"/>
      <c r="W2" s="24"/>
      <c r="X2" s="19"/>
      <c r="Y2" s="23"/>
      <c r="Z2" s="23"/>
      <c r="AA2" s="11"/>
      <c r="AB2" s="19"/>
      <c r="AC2" s="25"/>
      <c r="AD2" s="23"/>
      <c r="AE2" s="19"/>
      <c r="AF2" s="23"/>
      <c r="AG2" s="21" t="s">
        <v>256</v>
      </c>
      <c r="AH2" s="19"/>
      <c r="AI2" s="19"/>
      <c r="AJ2" s="19"/>
      <c r="AK2" s="19"/>
      <c r="AL2" s="19"/>
      <c r="AM2" s="19"/>
    </row>
    <row r="3" spans="1:39" customFormat="1" ht="15.75" customHeight="1" x14ac:dyDescent="0.25"/>
    <row r="4" spans="1:39" customFormat="1" ht="15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P4" s="7"/>
      <c r="Q4" s="7"/>
      <c r="T4" s="7"/>
      <c r="U4" s="7"/>
    </row>
  </sheetData>
  <phoneticPr fontId="7" type="noConversion"/>
  <dataValidations count="2">
    <dataValidation type="list" allowBlank="1" showInputMessage="1" showErrorMessage="1" sqref="A2" xr:uid="{885AD8D2-1E8D-4A28-A6A1-2EE46D0EFE41}">
      <formula1>"2023,2024,2025,2026"</formula1>
    </dataValidation>
    <dataValidation type="list" allowBlank="1" showInputMessage="1" showErrorMessage="1" sqref="N2:O2 AG2" xr:uid="{4107916B-0D41-4AC3-BBEF-68EE747F673D}">
      <formula1>"true,false"</formula1>
    </dataValidation>
  </dataValidations>
  <pageMargins left="0.70000000000000007" right="0.70000000000000007" top="0.75" bottom="0.75" header="0.30000000000000004" footer="0.30000000000000004"/>
  <customProperties>
    <customPr name="OrphanNamesChecked" r:id="rId1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8E932C-675F-45EC-848C-F2DEECC3984E}">
          <x14:formula1>
            <xm:f>'Country list'!$A$1:$A$214</xm:f>
          </x14:formula1>
          <xm:sqref>V2 X2 S2</xm:sqref>
        </x14:dataValidation>
        <x14:dataValidation type="list" allowBlank="1" showInputMessage="1" showErrorMessage="1" xr:uid="{5E9EC7C5-6618-4954-8ACD-34A5463F7A32}">
          <x14:formula1>
            <xm:f>'Country list'!$B$1:$B$6</xm:f>
          </x14:formula1>
          <xm:sqref>M2</xm:sqref>
        </x14:dataValidation>
        <x14:dataValidation type="list" allowBlank="1" showInputMessage="1" showErrorMessage="1" xr:uid="{D4C6C265-5931-49B6-80A6-99761CB6CADC}">
          <x14:formula1>
            <xm:f>'Country list'!$C$1:$C$13</xm:f>
          </x14:formula1>
          <xm:sqref>AE2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18BC-E5B4-45FC-BA8D-8D9D220367E2}">
  <dimension ref="A1:AH3"/>
  <sheetViews>
    <sheetView workbookViewId="0">
      <selection activeCell="A2" sqref="A2:XFD2"/>
    </sheetView>
  </sheetViews>
  <sheetFormatPr defaultColWidth="9.140625" defaultRowHeight="15" x14ac:dyDescent="0.25"/>
  <cols>
    <col min="1" max="1" width="13.140625" customWidth="1"/>
    <col min="2" max="2" width="29.85546875" customWidth="1"/>
    <col min="3" max="3" width="21.28515625" customWidth="1"/>
    <col min="4" max="4" width="20.140625" style="7" customWidth="1"/>
    <col min="5" max="5" width="19.85546875" customWidth="1"/>
    <col min="6" max="6" width="17.42578125" customWidth="1"/>
    <col min="7" max="8" width="23.140625" customWidth="1"/>
    <col min="9" max="9" width="21.7109375" customWidth="1"/>
    <col min="10" max="10" width="20.28515625" customWidth="1"/>
    <col min="11" max="11" width="30.28515625" customWidth="1"/>
    <col min="12" max="14" width="15" customWidth="1"/>
    <col min="15" max="15" width="23.42578125" customWidth="1"/>
    <col min="16" max="16" width="47.5703125" bestFit="1" customWidth="1"/>
    <col min="17" max="19" width="32" customWidth="1"/>
    <col min="20" max="20" width="25.7109375" customWidth="1"/>
    <col min="21" max="21" width="49.85546875" customWidth="1"/>
    <col min="22" max="22" width="28" customWidth="1"/>
    <col min="23" max="23" width="14.5703125" customWidth="1"/>
    <col min="24" max="24" width="29.5703125" customWidth="1"/>
    <col min="25" max="25" width="20.42578125" customWidth="1"/>
    <col min="26" max="26" width="27" customWidth="1"/>
    <col min="27" max="27" width="30.140625" bestFit="1" customWidth="1"/>
    <col min="28" max="28" width="21.85546875" bestFit="1" customWidth="1"/>
    <col min="29" max="29" width="9.140625" customWidth="1"/>
    <col min="30" max="30" width="41.28515625" bestFit="1" customWidth="1"/>
    <col min="31" max="31" width="20.140625" bestFit="1" customWidth="1"/>
    <col min="32" max="32" width="23.85546875" bestFit="1" customWidth="1"/>
    <col min="33" max="33" width="27.28515625" bestFit="1" customWidth="1"/>
    <col min="34" max="34" width="25.140625" bestFit="1" customWidth="1"/>
  </cols>
  <sheetData>
    <row r="1" spans="1:34" ht="31.5" customHeight="1" x14ac:dyDescent="0.25">
      <c r="A1" s="1" t="s">
        <v>7</v>
      </c>
      <c r="B1" s="1" t="s">
        <v>0</v>
      </c>
      <c r="C1" s="1" t="s">
        <v>1</v>
      </c>
      <c r="D1" s="1" t="s">
        <v>262</v>
      </c>
      <c r="E1" s="1" t="s">
        <v>2</v>
      </c>
      <c r="F1" s="1" t="s">
        <v>3</v>
      </c>
      <c r="G1" s="1" t="s">
        <v>4</v>
      </c>
      <c r="H1" s="1" t="s">
        <v>40</v>
      </c>
      <c r="I1" s="1" t="s">
        <v>5</v>
      </c>
      <c r="J1" s="1" t="s">
        <v>6</v>
      </c>
      <c r="K1" s="1" t="s">
        <v>8</v>
      </c>
      <c r="L1" s="1" t="s">
        <v>41</v>
      </c>
      <c r="M1" s="1" t="s">
        <v>38</v>
      </c>
      <c r="N1" s="1" t="s">
        <v>39</v>
      </c>
      <c r="O1" s="1" t="s">
        <v>23</v>
      </c>
      <c r="P1" s="8" t="s">
        <v>37</v>
      </c>
      <c r="Q1" s="9" t="s">
        <v>24</v>
      </c>
      <c r="R1" s="9" t="s">
        <v>42</v>
      </c>
      <c r="S1" s="1" t="s">
        <v>30</v>
      </c>
      <c r="T1" s="1" t="s">
        <v>31</v>
      </c>
      <c r="U1" s="1" t="s">
        <v>25</v>
      </c>
      <c r="V1" s="1" t="s">
        <v>15</v>
      </c>
      <c r="W1" s="1" t="s">
        <v>16</v>
      </c>
      <c r="X1" s="4" t="s">
        <v>17</v>
      </c>
      <c r="Y1" s="4" t="s">
        <v>18</v>
      </c>
      <c r="Z1" s="1" t="s">
        <v>33</v>
      </c>
      <c r="AA1" s="1" t="s">
        <v>21</v>
      </c>
      <c r="AB1" s="5" t="str">
        <f>_xlfn.CONCAT("Closed account in ",A2)</f>
        <v>Closed account in 2024</v>
      </c>
      <c r="AC1" s="6" t="s">
        <v>22</v>
      </c>
      <c r="AD1" s="5" t="str">
        <f>_xlfn.CONCAT("Account balance, i.e. sum of equity and debt interest as at 31.12.",A2)</f>
        <v>Account balance, i.e. sum of equity and debt interest as at 31.12.2024</v>
      </c>
      <c r="AE1" s="5" t="str">
        <f>_xlfn.CONCAT("Proceeds during ",A2)</f>
        <v>Proceeds during 2024</v>
      </c>
      <c r="AF1" s="5" t="str">
        <f>_xlfn.CONCAT("Distributions (dividends) during ",A2)</f>
        <v>Distributions (dividends) during 2024</v>
      </c>
      <c r="AG1" s="5" t="str">
        <f>_xlfn.CONCAT("Interest paid/accrued in ",A2)</f>
        <v>Interest paid/accrued in 2024</v>
      </c>
      <c r="AH1" s="5" t="str">
        <f>_xlfn.CONCAT("Other paid/accrued in ",A2)</f>
        <v>Other paid/accrued in 2024</v>
      </c>
    </row>
    <row r="2" spans="1:34" x14ac:dyDescent="0.25">
      <c r="A2" s="12">
        <v>2024</v>
      </c>
      <c r="B2" s="13"/>
      <c r="C2" s="13"/>
      <c r="D2" s="13"/>
      <c r="E2" s="14"/>
      <c r="F2" s="15"/>
      <c r="G2" s="16"/>
      <c r="H2" s="16"/>
      <c r="I2" s="17"/>
      <c r="J2" s="18"/>
      <c r="K2" s="19"/>
      <c r="L2" s="20"/>
      <c r="M2" s="21" t="s">
        <v>256</v>
      </c>
      <c r="N2" s="21" t="s">
        <v>256</v>
      </c>
      <c r="O2" s="26"/>
      <c r="P2" s="20" t="s">
        <v>268</v>
      </c>
      <c r="Q2" s="19"/>
      <c r="R2" s="19"/>
      <c r="S2" s="19"/>
      <c r="T2" s="19"/>
      <c r="U2" s="19"/>
      <c r="V2" s="19"/>
      <c r="W2" s="23"/>
      <c r="X2" s="23"/>
      <c r="Y2" s="27"/>
      <c r="Z2" s="19"/>
      <c r="AA2" s="23"/>
      <c r="AB2" s="21" t="s">
        <v>256</v>
      </c>
      <c r="AC2" s="19"/>
      <c r="AD2" s="19"/>
      <c r="AE2" s="19"/>
      <c r="AF2" s="19"/>
      <c r="AG2" s="19"/>
      <c r="AH2" s="19"/>
    </row>
    <row r="3" spans="1:34" x14ac:dyDescent="0.25">
      <c r="D3"/>
    </row>
  </sheetData>
  <dataValidations count="2">
    <dataValidation type="list" allowBlank="1" showInputMessage="1" showErrorMessage="1" sqref="A2" xr:uid="{B382F95A-DF4A-4D40-A3E7-83528D2A4A18}">
      <formula1>"2023,2024,2025,2026"</formula1>
    </dataValidation>
    <dataValidation type="list" allowBlank="1" showInputMessage="1" showErrorMessage="1" sqref="M2:N2 AB2" xr:uid="{B07BF169-489A-405E-BD45-88C789A67461}">
      <formula1>"true,false"</formula1>
    </dataValidation>
  </dataValidations>
  <pageMargins left="0.7" right="0.7" top="0.75" bottom="0.75" header="0.3" footer="0.3"/>
  <customProperties>
    <customPr name="OrphanNamesChecked" r:id="rId1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A75C07-4A40-4CA4-B697-B6810F5A763D}">
          <x14:formula1>
            <xm:f>'Country list'!$A$1:$A$214</xm:f>
          </x14:formula1>
          <xm:sqref>S2:T2</xm:sqref>
        </x14:dataValidation>
        <x14:dataValidation type="list" allowBlank="1" showInputMessage="1" showErrorMessage="1" xr:uid="{8230333C-D3A9-406B-90C1-2521AA4BEA9F}">
          <x14:formula1>
            <xm:f>'Country list'!$B$1:$B$6</xm:f>
          </x14:formula1>
          <xm:sqref>P2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6986-6858-492F-9AA4-39A76CFEA544}">
  <dimension ref="A1:AE3"/>
  <sheetViews>
    <sheetView workbookViewId="0">
      <selection activeCell="F22" sqref="F22"/>
    </sheetView>
  </sheetViews>
  <sheetFormatPr defaultColWidth="71.140625" defaultRowHeight="15" x14ac:dyDescent="0.25"/>
  <cols>
    <col min="1" max="1" width="15.5703125" style="7" bestFit="1" customWidth="1"/>
    <col min="2" max="2" width="40.7109375" style="7" bestFit="1" customWidth="1"/>
    <col min="3" max="3" width="20.5703125" style="7" bestFit="1" customWidth="1"/>
    <col min="4" max="4" width="20.140625" style="7" customWidth="1"/>
    <col min="5" max="5" width="17.42578125" style="7" bestFit="1" customWidth="1"/>
    <col min="6" max="6" width="27.85546875" style="7" bestFit="1" customWidth="1"/>
    <col min="7" max="7" width="27.85546875" style="7" customWidth="1"/>
    <col min="8" max="8" width="34" style="7" bestFit="1" customWidth="1"/>
    <col min="9" max="9" width="20.5703125" style="7" bestFit="1" customWidth="1"/>
    <col min="10" max="10" width="25.7109375" style="7" bestFit="1" customWidth="1"/>
    <col min="11" max="11" width="15.7109375" style="7" bestFit="1" customWidth="1"/>
    <col min="12" max="12" width="34.85546875" style="7" bestFit="1" customWidth="1"/>
    <col min="13" max="13" width="13.42578125" style="7" bestFit="1" customWidth="1"/>
    <col min="14" max="14" width="70.140625" style="7" bestFit="1" customWidth="1"/>
    <col min="15" max="16" width="15" customWidth="1"/>
    <col min="17" max="17" width="49.85546875" style="7" bestFit="1" customWidth="1"/>
    <col min="18" max="18" width="20.85546875" style="7" bestFit="1" customWidth="1"/>
    <col min="19" max="19" width="27" style="7" bestFit="1" customWidth="1"/>
    <col min="20" max="20" width="37.7109375" style="7" customWidth="1"/>
    <col min="21" max="21" width="50" style="7" bestFit="1" customWidth="1"/>
    <col min="22" max="22" width="17.5703125" style="7" bestFit="1" customWidth="1"/>
    <col min="23" max="23" width="35.140625" style="7" bestFit="1" customWidth="1"/>
    <col min="24" max="24" width="30.140625" style="7" bestFit="1" customWidth="1"/>
    <col min="25" max="25" width="30.85546875" style="7" bestFit="1" customWidth="1"/>
    <col min="26" max="26" width="9.28515625" style="7" bestFit="1" customWidth="1"/>
    <col min="27" max="27" width="63.7109375" style="7" bestFit="1" customWidth="1"/>
    <col min="28" max="28" width="20.140625" style="7" bestFit="1" customWidth="1"/>
    <col min="29" max="29" width="34.7109375" style="7" bestFit="1" customWidth="1"/>
    <col min="30" max="30" width="27.28515625" style="7" bestFit="1" customWidth="1"/>
    <col min="31" max="31" width="25.140625" style="7" bestFit="1" customWidth="1"/>
    <col min="32" max="16384" width="71.140625" style="7"/>
  </cols>
  <sheetData>
    <row r="1" spans="1:31" ht="25.5" x14ac:dyDescent="0.2">
      <c r="A1" s="1" t="s">
        <v>7</v>
      </c>
      <c r="B1" s="1" t="s">
        <v>0</v>
      </c>
      <c r="C1" s="1" t="s">
        <v>1</v>
      </c>
      <c r="D1" s="1" t="s">
        <v>262</v>
      </c>
      <c r="E1" s="1" t="s">
        <v>2</v>
      </c>
      <c r="F1" s="1" t="s">
        <v>3</v>
      </c>
      <c r="G1" s="1" t="s">
        <v>4</v>
      </c>
      <c r="H1" s="1" t="s">
        <v>40</v>
      </c>
      <c r="I1" s="1" t="s">
        <v>5</v>
      </c>
      <c r="J1" s="1" t="s">
        <v>6</v>
      </c>
      <c r="K1" s="1" t="s">
        <v>8</v>
      </c>
      <c r="L1" s="1" t="s">
        <v>41</v>
      </c>
      <c r="M1" s="1" t="s">
        <v>32</v>
      </c>
      <c r="N1" s="8" t="s">
        <v>37</v>
      </c>
      <c r="O1" s="1" t="s">
        <v>38</v>
      </c>
      <c r="P1" s="1" t="s">
        <v>39</v>
      </c>
      <c r="Q1" s="9" t="s">
        <v>26</v>
      </c>
      <c r="R1" s="1" t="s">
        <v>259</v>
      </c>
      <c r="S1" s="1" t="s">
        <v>27</v>
      </c>
      <c r="T1" s="1" t="s">
        <v>260</v>
      </c>
      <c r="U1" s="1" t="s">
        <v>15</v>
      </c>
      <c r="V1" s="1" t="s">
        <v>16</v>
      </c>
      <c r="W1" s="1" t="s">
        <v>33</v>
      </c>
      <c r="X1" s="1" t="s">
        <v>21</v>
      </c>
      <c r="Y1" s="5" t="str">
        <f>_xlfn.CONCAT("Closed account in ",A2)</f>
        <v>Closed account in 2024</v>
      </c>
      <c r="Z1" s="6" t="s">
        <v>22</v>
      </c>
      <c r="AA1" s="5" t="str">
        <f>_xlfn.CONCAT("Account balance, i.e. sum of equity and debt interest as at 31.12.",A2)</f>
        <v>Account balance, i.e. sum of equity and debt interest as at 31.12.2024</v>
      </c>
      <c r="AB1" s="5" t="str">
        <f>_xlfn.CONCAT("Proceeds during ",A2)</f>
        <v>Proceeds during 2024</v>
      </c>
      <c r="AC1" s="5" t="str">
        <f>_xlfn.CONCAT("Distributions (dividends) during ",A2)</f>
        <v>Distributions (dividends) during 2024</v>
      </c>
      <c r="AD1" s="5" t="str">
        <f>_xlfn.CONCAT("Interest paid/accrued in ",A2)</f>
        <v>Interest paid/accrued in 2024</v>
      </c>
      <c r="AE1" s="5" t="str">
        <f>_xlfn.CONCAT("Other paid/accrued in ",A2)</f>
        <v>Other paid/accrued in 2024</v>
      </c>
    </row>
    <row r="2" spans="1:31" x14ac:dyDescent="0.2">
      <c r="A2" s="12">
        <v>2024</v>
      </c>
      <c r="B2" s="13"/>
      <c r="C2" s="13"/>
      <c r="D2" s="13"/>
      <c r="E2" s="14"/>
      <c r="F2" s="15"/>
      <c r="G2" s="16"/>
      <c r="H2" s="16"/>
      <c r="I2" s="17"/>
      <c r="J2" s="18"/>
      <c r="K2" s="19"/>
      <c r="L2" s="28"/>
      <c r="M2" s="29"/>
      <c r="N2" s="20" t="s">
        <v>268</v>
      </c>
      <c r="O2" s="21" t="s">
        <v>256</v>
      </c>
      <c r="P2" s="21" t="s">
        <v>256</v>
      </c>
      <c r="Q2" s="19"/>
      <c r="R2" s="19"/>
      <c r="S2" s="19"/>
      <c r="T2" s="23"/>
      <c r="U2" s="23"/>
      <c r="V2" s="23"/>
      <c r="W2" s="23"/>
      <c r="X2" s="23"/>
      <c r="Y2" s="21" t="s">
        <v>256</v>
      </c>
      <c r="Z2" s="19"/>
      <c r="AA2" s="19"/>
      <c r="AB2" s="19"/>
      <c r="AC2" s="19"/>
      <c r="AD2" s="19"/>
      <c r="AE2" s="19"/>
    </row>
    <row r="3" spans="1:31" x14ac:dyDescent="0.25">
      <c r="D3"/>
    </row>
  </sheetData>
  <dataValidations count="2">
    <dataValidation type="list" allowBlank="1" showInputMessage="1" showErrorMessage="1" sqref="A2" xr:uid="{B44B7F7E-631D-410A-8099-611A3D1CCCCB}">
      <formula1>"2023,2024,2025,2026"</formula1>
    </dataValidation>
    <dataValidation type="list" allowBlank="1" showInputMessage="1" showErrorMessage="1" sqref="O2:P2 Y2" xr:uid="{584598D2-361C-4105-A629-8D6F6969908B}">
      <formula1>"true,false"</formula1>
    </dataValidation>
  </dataValidations>
  <pageMargins left="0.7" right="0.7" top="0.75" bottom="0.75" header="0.3" footer="0.3"/>
  <customProperties>
    <customPr name="OrphanNamesChecked" r:id="rId1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3AAA5C-7946-4B73-8043-AB9A20B6F4D9}">
          <x14:formula1>
            <xm:f>'Country list'!$A$1:$A$214</xm:f>
          </x14:formula1>
          <xm:sqref>R2:S2</xm:sqref>
        </x14:dataValidation>
        <x14:dataValidation type="list" allowBlank="1" showInputMessage="1" showErrorMessage="1" xr:uid="{7B225485-EF15-419E-A4AD-13296C9121DB}">
          <x14:formula1>
            <xm:f>'Country list'!$B$1:$B$6</xm:f>
          </x14:formula1>
          <xm:sqref>N2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541F-8DD6-41B8-92ED-C9C1BAA4CDE4}">
  <dimension ref="A1:C214"/>
  <sheetViews>
    <sheetView workbookViewId="0">
      <selection activeCell="C1" sqref="C1:C13"/>
    </sheetView>
  </sheetViews>
  <sheetFormatPr defaultColWidth="9.140625" defaultRowHeight="15" x14ac:dyDescent="0.25"/>
  <cols>
    <col min="1" max="1" width="36.28515625" bestFit="1" customWidth="1"/>
    <col min="2" max="2" width="57.28515625" bestFit="1" customWidth="1"/>
    <col min="3" max="3" width="64.85546875" customWidth="1"/>
  </cols>
  <sheetData>
    <row r="1" spans="1:3" x14ac:dyDescent="0.25">
      <c r="A1" t="s">
        <v>43</v>
      </c>
      <c r="B1" t="s">
        <v>263</v>
      </c>
      <c r="C1" t="s">
        <v>269</v>
      </c>
    </row>
    <row r="2" spans="1:3" x14ac:dyDescent="0.25">
      <c r="A2" s="10" t="s">
        <v>236</v>
      </c>
      <c r="B2" t="s">
        <v>264</v>
      </c>
      <c r="C2" t="s">
        <v>270</v>
      </c>
    </row>
    <row r="3" spans="1:3" x14ac:dyDescent="0.25">
      <c r="A3" t="s">
        <v>44</v>
      </c>
      <c r="B3" t="s">
        <v>265</v>
      </c>
      <c r="C3" t="s">
        <v>271</v>
      </c>
    </row>
    <row r="4" spans="1:3" x14ac:dyDescent="0.25">
      <c r="A4" s="10" t="s">
        <v>197</v>
      </c>
      <c r="B4" t="s">
        <v>266</v>
      </c>
      <c r="C4" t="s">
        <v>272</v>
      </c>
    </row>
    <row r="5" spans="1:3" x14ac:dyDescent="0.25">
      <c r="A5" t="s">
        <v>45</v>
      </c>
      <c r="B5" t="s">
        <v>267</v>
      </c>
      <c r="C5" t="s">
        <v>273</v>
      </c>
    </row>
    <row r="6" spans="1:3" x14ac:dyDescent="0.25">
      <c r="A6" t="s">
        <v>145</v>
      </c>
      <c r="B6" t="s">
        <v>268</v>
      </c>
      <c r="C6" t="s">
        <v>274</v>
      </c>
    </row>
    <row r="7" spans="1:3" x14ac:dyDescent="0.25">
      <c r="A7" s="10" t="s">
        <v>198</v>
      </c>
      <c r="C7" t="s">
        <v>275</v>
      </c>
    </row>
    <row r="8" spans="1:3" x14ac:dyDescent="0.25">
      <c r="A8" s="10" t="s">
        <v>152</v>
      </c>
      <c r="C8" t="s">
        <v>276</v>
      </c>
    </row>
    <row r="9" spans="1:3" x14ac:dyDescent="0.25">
      <c r="A9" t="s">
        <v>46</v>
      </c>
      <c r="C9" t="s">
        <v>277</v>
      </c>
    </row>
    <row r="10" spans="1:3" x14ac:dyDescent="0.25">
      <c r="A10" s="10" t="s">
        <v>200</v>
      </c>
      <c r="C10" t="s">
        <v>278</v>
      </c>
    </row>
    <row r="11" spans="1:3" x14ac:dyDescent="0.25">
      <c r="A11" s="10" t="s">
        <v>201</v>
      </c>
      <c r="C11" t="s">
        <v>279</v>
      </c>
    </row>
    <row r="12" spans="1:3" x14ac:dyDescent="0.25">
      <c r="A12" s="10" t="s">
        <v>153</v>
      </c>
      <c r="C12" t="s">
        <v>280</v>
      </c>
    </row>
    <row r="13" spans="1:3" x14ac:dyDescent="0.25">
      <c r="A13" s="10" t="s">
        <v>202</v>
      </c>
      <c r="C13" t="s">
        <v>281</v>
      </c>
    </row>
    <row r="14" spans="1:3" x14ac:dyDescent="0.25">
      <c r="A14" t="s">
        <v>47</v>
      </c>
    </row>
    <row r="15" spans="1:3" x14ac:dyDescent="0.25">
      <c r="A15" t="s">
        <v>48</v>
      </c>
    </row>
    <row r="16" spans="1:3" x14ac:dyDescent="0.25">
      <c r="A16" t="s">
        <v>49</v>
      </c>
    </row>
    <row r="17" spans="1:1" x14ac:dyDescent="0.25">
      <c r="A17" s="10" t="s">
        <v>154</v>
      </c>
    </row>
    <row r="18" spans="1:1" x14ac:dyDescent="0.25">
      <c r="A18" t="s">
        <v>50</v>
      </c>
    </row>
    <row r="19" spans="1:1" x14ac:dyDescent="0.25">
      <c r="A19" s="10" t="s">
        <v>155</v>
      </c>
    </row>
    <row r="20" spans="1:1" x14ac:dyDescent="0.25">
      <c r="A20" s="10" t="s">
        <v>203</v>
      </c>
    </row>
    <row r="21" spans="1:1" x14ac:dyDescent="0.25">
      <c r="A21" t="s">
        <v>51</v>
      </c>
    </row>
    <row r="22" spans="1:1" x14ac:dyDescent="0.25">
      <c r="A22" t="s">
        <v>146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s="10" t="s">
        <v>204</v>
      </c>
    </row>
    <row r="28" spans="1:1" x14ac:dyDescent="0.25">
      <c r="A28" s="10" t="s">
        <v>242</v>
      </c>
    </row>
    <row r="29" spans="1:1" x14ac:dyDescent="0.25">
      <c r="A29" s="10" t="s">
        <v>156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s="10" t="s">
        <v>205</v>
      </c>
    </row>
    <row r="36" spans="1:1" x14ac:dyDescent="0.25">
      <c r="A36" t="s">
        <v>147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s="10" t="s">
        <v>206</v>
      </c>
    </row>
    <row r="40" spans="1:1" x14ac:dyDescent="0.25">
      <c r="A40" s="10" t="s">
        <v>207</v>
      </c>
    </row>
    <row r="41" spans="1:1" x14ac:dyDescent="0.25">
      <c r="A41" s="10" t="s">
        <v>158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s="10" t="s">
        <v>212</v>
      </c>
    </row>
    <row r="46" spans="1:1" x14ac:dyDescent="0.25">
      <c r="A46" s="10" t="s">
        <v>208</v>
      </c>
    </row>
    <row r="47" spans="1:1" x14ac:dyDescent="0.25">
      <c r="A47" t="s">
        <v>66</v>
      </c>
    </row>
    <row r="48" spans="1:1" x14ac:dyDescent="0.25">
      <c r="A48" s="10" t="s">
        <v>160</v>
      </c>
    </row>
    <row r="49" spans="1:1" x14ac:dyDescent="0.25">
      <c r="A49" t="s">
        <v>67</v>
      </c>
    </row>
    <row r="50" spans="1:1" x14ac:dyDescent="0.25">
      <c r="A50" s="10" t="s">
        <v>161</v>
      </c>
    </row>
    <row r="51" spans="1:1" x14ac:dyDescent="0.25">
      <c r="A51" s="10" t="s">
        <v>157</v>
      </c>
    </row>
    <row r="52" spans="1:1" x14ac:dyDescent="0.25">
      <c r="A52" s="10" t="s">
        <v>190</v>
      </c>
    </row>
    <row r="53" spans="1:1" x14ac:dyDescent="0.25">
      <c r="A53" s="10" t="s">
        <v>162</v>
      </c>
    </row>
    <row r="54" spans="1:1" x14ac:dyDescent="0.25">
      <c r="A54" t="s">
        <v>68</v>
      </c>
    </row>
    <row r="55" spans="1:1" x14ac:dyDescent="0.25">
      <c r="A55" s="10" t="s">
        <v>237</v>
      </c>
    </row>
    <row r="56" spans="1:1" x14ac:dyDescent="0.25">
      <c r="A56" t="s">
        <v>69</v>
      </c>
    </row>
    <row r="57" spans="1:1" x14ac:dyDescent="0.25">
      <c r="A57" s="10" t="s">
        <v>238</v>
      </c>
    </row>
    <row r="58" spans="1:1" x14ac:dyDescent="0.25">
      <c r="A58" t="s">
        <v>70</v>
      </c>
    </row>
    <row r="59" spans="1:1" x14ac:dyDescent="0.25">
      <c r="A59" t="s">
        <v>71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s="10" t="s">
        <v>164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s="10" t="s">
        <v>173</v>
      </c>
    </row>
    <row r="66" spans="1:1" x14ac:dyDescent="0.25">
      <c r="A66" t="s">
        <v>76</v>
      </c>
    </row>
    <row r="67" spans="1:1" x14ac:dyDescent="0.25">
      <c r="A67" s="10" t="s">
        <v>165</v>
      </c>
    </row>
    <row r="68" spans="1:1" x14ac:dyDescent="0.25">
      <c r="A68" s="10" t="s">
        <v>166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s="10" t="s">
        <v>253</v>
      </c>
    </row>
    <row r="72" spans="1:1" x14ac:dyDescent="0.25">
      <c r="A72" s="10" t="s">
        <v>151</v>
      </c>
    </row>
    <row r="73" spans="1:1" x14ac:dyDescent="0.25">
      <c r="A73" s="10" t="s">
        <v>209</v>
      </c>
    </row>
    <row r="74" spans="1:1" x14ac:dyDescent="0.25">
      <c r="A74" s="10" t="s">
        <v>167</v>
      </c>
    </row>
    <row r="75" spans="1:1" x14ac:dyDescent="0.25">
      <c r="A75" s="10" t="s">
        <v>168</v>
      </c>
    </row>
    <row r="76" spans="1:1" x14ac:dyDescent="0.25">
      <c r="A76" s="10" t="s">
        <v>169</v>
      </c>
    </row>
    <row r="77" spans="1:1" x14ac:dyDescent="0.25">
      <c r="A77" s="10" t="s">
        <v>210</v>
      </c>
    </row>
    <row r="78" spans="1:1" x14ac:dyDescent="0.25">
      <c r="A78" t="s">
        <v>79</v>
      </c>
    </row>
    <row r="79" spans="1:1" x14ac:dyDescent="0.25">
      <c r="A79" s="10" t="s">
        <v>170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s="10" t="s">
        <v>211</v>
      </c>
    </row>
    <row r="86" spans="1:1" x14ac:dyDescent="0.25">
      <c r="A86" s="10" t="s">
        <v>171</v>
      </c>
    </row>
    <row r="87" spans="1:1" x14ac:dyDescent="0.25">
      <c r="A87" s="10" t="s">
        <v>176</v>
      </c>
    </row>
    <row r="88" spans="1:1" x14ac:dyDescent="0.25">
      <c r="A88" s="10" t="s">
        <v>174</v>
      </c>
    </row>
    <row r="89" spans="1:1" x14ac:dyDescent="0.25">
      <c r="A89" s="10" t="s">
        <v>213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s="10" t="s">
        <v>175</v>
      </c>
    </row>
    <row r="93" spans="1:1" x14ac:dyDescent="0.25">
      <c r="A93" s="10" t="s">
        <v>172</v>
      </c>
    </row>
    <row r="94" spans="1:1" x14ac:dyDescent="0.25">
      <c r="A94" s="10" t="s">
        <v>214</v>
      </c>
    </row>
    <row r="95" spans="1:1" x14ac:dyDescent="0.25">
      <c r="A95" s="10" t="s">
        <v>177</v>
      </c>
    </row>
    <row r="96" spans="1:1" x14ac:dyDescent="0.25">
      <c r="A96" s="10" t="s">
        <v>248</v>
      </c>
    </row>
    <row r="97" spans="1:1" x14ac:dyDescent="0.25">
      <c r="A97" s="10" t="s">
        <v>215</v>
      </c>
    </row>
    <row r="98" spans="1:1" x14ac:dyDescent="0.25">
      <c r="A98" t="s">
        <v>87</v>
      </c>
    </row>
    <row r="99" spans="1:1" x14ac:dyDescent="0.25">
      <c r="A99" s="10" t="s">
        <v>87</v>
      </c>
    </row>
    <row r="100" spans="1:1" x14ac:dyDescent="0.25">
      <c r="A100" t="s">
        <v>88</v>
      </c>
    </row>
    <row r="101" spans="1:1" x14ac:dyDescent="0.25">
      <c r="A101" s="10" t="s">
        <v>239</v>
      </c>
    </row>
    <row r="102" spans="1:1" x14ac:dyDescent="0.25">
      <c r="A102" s="10" t="s">
        <v>246</v>
      </c>
    </row>
    <row r="103" spans="1:1" x14ac:dyDescent="0.25">
      <c r="A103" t="s">
        <v>89</v>
      </c>
    </row>
    <row r="104" spans="1:1" x14ac:dyDescent="0.25">
      <c r="A104" t="s">
        <v>109</v>
      </c>
    </row>
    <row r="105" spans="1:1" x14ac:dyDescent="0.25">
      <c r="A105" s="10" t="s">
        <v>159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92</v>
      </c>
    </row>
    <row r="109" spans="1:1" x14ac:dyDescent="0.25">
      <c r="A109" s="10" t="s">
        <v>178</v>
      </c>
    </row>
    <row r="110" spans="1:1" x14ac:dyDescent="0.25">
      <c r="A110" s="10" t="s">
        <v>216</v>
      </c>
    </row>
    <row r="111" spans="1:1" x14ac:dyDescent="0.25">
      <c r="A111" t="s">
        <v>93</v>
      </c>
    </row>
    <row r="112" spans="1:1" x14ac:dyDescent="0.25">
      <c r="A112" s="10" t="s">
        <v>240</v>
      </c>
    </row>
    <row r="113" spans="1:1" x14ac:dyDescent="0.25">
      <c r="A113" t="s">
        <v>94</v>
      </c>
    </row>
    <row r="114" spans="1:1" x14ac:dyDescent="0.25">
      <c r="A114" s="10" t="s">
        <v>179</v>
      </c>
    </row>
    <row r="115" spans="1:1" x14ac:dyDescent="0.25">
      <c r="A115" s="10" t="s">
        <v>180</v>
      </c>
    </row>
    <row r="116" spans="1:1" x14ac:dyDescent="0.25">
      <c r="A116" s="10" t="s">
        <v>255</v>
      </c>
    </row>
    <row r="117" spans="1:1" x14ac:dyDescent="0.25">
      <c r="A117" s="10" t="s">
        <v>217</v>
      </c>
    </row>
    <row r="118" spans="1:1" x14ac:dyDescent="0.25">
      <c r="A118" t="s">
        <v>95</v>
      </c>
    </row>
    <row r="119" spans="1:1" x14ac:dyDescent="0.25">
      <c r="A119" t="s">
        <v>96</v>
      </c>
    </row>
    <row r="120" spans="1:1" x14ac:dyDescent="0.25">
      <c r="A120" s="10" t="s">
        <v>218</v>
      </c>
    </row>
    <row r="121" spans="1:1" x14ac:dyDescent="0.25">
      <c r="A121" s="10" t="s">
        <v>247</v>
      </c>
    </row>
    <row r="122" spans="1:1" x14ac:dyDescent="0.25">
      <c r="A122" t="s">
        <v>97</v>
      </c>
    </row>
    <row r="123" spans="1:1" x14ac:dyDescent="0.25">
      <c r="A123" s="10" t="s">
        <v>181</v>
      </c>
    </row>
    <row r="124" spans="1:1" x14ac:dyDescent="0.25">
      <c r="A124" t="s">
        <v>98</v>
      </c>
    </row>
    <row r="125" spans="1:1" x14ac:dyDescent="0.25">
      <c r="A125" t="s">
        <v>99</v>
      </c>
    </row>
    <row r="126" spans="1:1" x14ac:dyDescent="0.25">
      <c r="A126" s="10" t="s">
        <v>219</v>
      </c>
    </row>
    <row r="127" spans="1:1" x14ac:dyDescent="0.25">
      <c r="A127" s="10" t="s">
        <v>182</v>
      </c>
    </row>
    <row r="128" spans="1:1" x14ac:dyDescent="0.25">
      <c r="A128" t="s">
        <v>100</v>
      </c>
    </row>
    <row r="129" spans="1:1" x14ac:dyDescent="0.25">
      <c r="A129" s="10" t="s">
        <v>249</v>
      </c>
    </row>
    <row r="130" spans="1:1" x14ac:dyDescent="0.25">
      <c r="A130" s="10" t="s">
        <v>220</v>
      </c>
    </row>
    <row r="131" spans="1:1" x14ac:dyDescent="0.25">
      <c r="A131" t="s">
        <v>101</v>
      </c>
    </row>
    <row r="132" spans="1:1" x14ac:dyDescent="0.25">
      <c r="A132" s="10" t="s">
        <v>250</v>
      </c>
    </row>
    <row r="133" spans="1:1" x14ac:dyDescent="0.25">
      <c r="A133" s="10" t="s">
        <v>183</v>
      </c>
    </row>
    <row r="134" spans="1:1" x14ac:dyDescent="0.25">
      <c r="A134" s="10" t="s">
        <v>243</v>
      </c>
    </row>
    <row r="135" spans="1:1" x14ac:dyDescent="0.25">
      <c r="A135" t="s">
        <v>102</v>
      </c>
    </row>
    <row r="136" spans="1:1" x14ac:dyDescent="0.25">
      <c r="A136" t="s">
        <v>103</v>
      </c>
    </row>
    <row r="137" spans="1:1" x14ac:dyDescent="0.25">
      <c r="A137" t="s">
        <v>104</v>
      </c>
    </row>
    <row r="138" spans="1:1" x14ac:dyDescent="0.25">
      <c r="A138" t="s">
        <v>105</v>
      </c>
    </row>
    <row r="139" spans="1:1" x14ac:dyDescent="0.25">
      <c r="A139" t="s">
        <v>106</v>
      </c>
    </row>
    <row r="140" spans="1:1" x14ac:dyDescent="0.25">
      <c r="A140" s="10" t="s">
        <v>186</v>
      </c>
    </row>
    <row r="141" spans="1:1" x14ac:dyDescent="0.25">
      <c r="A141" s="10" t="s">
        <v>244</v>
      </c>
    </row>
    <row r="142" spans="1:1" x14ac:dyDescent="0.25">
      <c r="A142" s="10" t="s">
        <v>221</v>
      </c>
    </row>
    <row r="143" spans="1:1" x14ac:dyDescent="0.25">
      <c r="A143" t="s">
        <v>107</v>
      </c>
    </row>
    <row r="144" spans="1:1" x14ac:dyDescent="0.25">
      <c r="A144" t="s">
        <v>108</v>
      </c>
    </row>
    <row r="145" spans="1:1" x14ac:dyDescent="0.25">
      <c r="A145" s="10" t="s">
        <v>235</v>
      </c>
    </row>
    <row r="146" spans="1:1" x14ac:dyDescent="0.25">
      <c r="A146" s="10" t="s">
        <v>184</v>
      </c>
    </row>
    <row r="147" spans="1:1" x14ac:dyDescent="0.25">
      <c r="A147" t="s">
        <v>110</v>
      </c>
    </row>
    <row r="148" spans="1:1" x14ac:dyDescent="0.25">
      <c r="A148" s="10" t="s">
        <v>185</v>
      </c>
    </row>
    <row r="149" spans="1:1" x14ac:dyDescent="0.25">
      <c r="A149" s="10" t="s">
        <v>241</v>
      </c>
    </row>
    <row r="150" spans="1:1" x14ac:dyDescent="0.25">
      <c r="A150" s="10" t="s">
        <v>222</v>
      </c>
    </row>
    <row r="151" spans="1:1" x14ac:dyDescent="0.25">
      <c r="A151" t="s">
        <v>111</v>
      </c>
    </row>
    <row r="152" spans="1:1" x14ac:dyDescent="0.25">
      <c r="A152" s="10" t="s">
        <v>223</v>
      </c>
    </row>
    <row r="153" spans="1:1" x14ac:dyDescent="0.25">
      <c r="A153" t="s">
        <v>112</v>
      </c>
    </row>
    <row r="154" spans="1:1" x14ac:dyDescent="0.25">
      <c r="A154" t="s">
        <v>113</v>
      </c>
    </row>
    <row r="155" spans="1:1" x14ac:dyDescent="0.25">
      <c r="A155" s="10" t="s">
        <v>245</v>
      </c>
    </row>
    <row r="156" spans="1:1" x14ac:dyDescent="0.25">
      <c r="A156" t="s">
        <v>114</v>
      </c>
    </row>
    <row r="157" spans="1:1" x14ac:dyDescent="0.25">
      <c r="A157" s="10" t="s">
        <v>187</v>
      </c>
    </row>
    <row r="158" spans="1:1" x14ac:dyDescent="0.25">
      <c r="A158" s="10" t="s">
        <v>188</v>
      </c>
    </row>
    <row r="159" spans="1:1" x14ac:dyDescent="0.25">
      <c r="A159" t="s">
        <v>115</v>
      </c>
    </row>
    <row r="160" spans="1:1" x14ac:dyDescent="0.25">
      <c r="A160" s="10" t="s">
        <v>191</v>
      </c>
    </row>
    <row r="161" spans="1:1" x14ac:dyDescent="0.25">
      <c r="A161" s="10" t="s">
        <v>224</v>
      </c>
    </row>
    <row r="162" spans="1:1" x14ac:dyDescent="0.25">
      <c r="A162" t="s">
        <v>116</v>
      </c>
    </row>
    <row r="163" spans="1:1" x14ac:dyDescent="0.25">
      <c r="A163" t="s">
        <v>148</v>
      </c>
    </row>
    <row r="164" spans="1:1" x14ac:dyDescent="0.25">
      <c r="A164" s="10" t="s">
        <v>225</v>
      </c>
    </row>
    <row r="165" spans="1:1" x14ac:dyDescent="0.25">
      <c r="A165" s="10" t="s">
        <v>226</v>
      </c>
    </row>
    <row r="166" spans="1:1" x14ac:dyDescent="0.25">
      <c r="A166" s="10" t="s">
        <v>227</v>
      </c>
    </row>
    <row r="167" spans="1:1" x14ac:dyDescent="0.25">
      <c r="A167" s="10" t="s">
        <v>228</v>
      </c>
    </row>
    <row r="168" spans="1:1" x14ac:dyDescent="0.25">
      <c r="A168" s="10" t="s">
        <v>229</v>
      </c>
    </row>
    <row r="169" spans="1:1" x14ac:dyDescent="0.25">
      <c r="A169" s="10" t="s">
        <v>193</v>
      </c>
    </row>
    <row r="170" spans="1:1" x14ac:dyDescent="0.25">
      <c r="A170" t="s">
        <v>117</v>
      </c>
    </row>
    <row r="171" spans="1:1" x14ac:dyDescent="0.25">
      <c r="A171" s="10" t="s">
        <v>199</v>
      </c>
    </row>
    <row r="172" spans="1:1" x14ac:dyDescent="0.25">
      <c r="A172" t="s">
        <v>118</v>
      </c>
    </row>
    <row r="173" spans="1:1" x14ac:dyDescent="0.25">
      <c r="A173" t="s">
        <v>119</v>
      </c>
    </row>
    <row r="174" spans="1:1" x14ac:dyDescent="0.25">
      <c r="A174" s="10" t="s">
        <v>194</v>
      </c>
    </row>
    <row r="175" spans="1:1" x14ac:dyDescent="0.25">
      <c r="A175" t="s">
        <v>120</v>
      </c>
    </row>
    <row r="176" spans="1:1" x14ac:dyDescent="0.25">
      <c r="A176" s="10" t="s">
        <v>230</v>
      </c>
    </row>
    <row r="177" spans="1:1" x14ac:dyDescent="0.25">
      <c r="A177" s="10" t="s">
        <v>189</v>
      </c>
    </row>
    <row r="178" spans="1:1" x14ac:dyDescent="0.25">
      <c r="A178" s="10" t="s">
        <v>195</v>
      </c>
    </row>
    <row r="179" spans="1:1" x14ac:dyDescent="0.25">
      <c r="A179" t="s">
        <v>121</v>
      </c>
    </row>
    <row r="180" spans="1:1" x14ac:dyDescent="0.25">
      <c r="A180" t="s">
        <v>122</v>
      </c>
    </row>
    <row r="181" spans="1:1" x14ac:dyDescent="0.25">
      <c r="A181" s="10" t="s">
        <v>150</v>
      </c>
    </row>
    <row r="182" spans="1:1" x14ac:dyDescent="0.25">
      <c r="A182" t="s">
        <v>123</v>
      </c>
    </row>
    <row r="183" spans="1:1" x14ac:dyDescent="0.25">
      <c r="A183" s="10" t="s">
        <v>163</v>
      </c>
    </row>
    <row r="184" spans="1:1" x14ac:dyDescent="0.25">
      <c r="A184" t="s">
        <v>124</v>
      </c>
    </row>
    <row r="185" spans="1:1" x14ac:dyDescent="0.25">
      <c r="A185" t="s">
        <v>125</v>
      </c>
    </row>
    <row r="186" spans="1:1" x14ac:dyDescent="0.25">
      <c r="A186" t="s">
        <v>126</v>
      </c>
    </row>
    <row r="187" spans="1:1" x14ac:dyDescent="0.25">
      <c r="A187" s="10" t="s">
        <v>196</v>
      </c>
    </row>
    <row r="188" spans="1:1" x14ac:dyDescent="0.25">
      <c r="A188" s="10" t="s">
        <v>231</v>
      </c>
    </row>
    <row r="189" spans="1:1" x14ac:dyDescent="0.25">
      <c r="A189" t="s">
        <v>127</v>
      </c>
    </row>
    <row r="190" spans="1:1" x14ac:dyDescent="0.25">
      <c r="A190" t="s">
        <v>128</v>
      </c>
    </row>
    <row r="191" spans="1:1" x14ac:dyDescent="0.25">
      <c r="A191" t="s">
        <v>129</v>
      </c>
    </row>
    <row r="192" spans="1:1" x14ac:dyDescent="0.25">
      <c r="A192" s="10" t="s">
        <v>252</v>
      </c>
    </row>
    <row r="193" spans="1:1" x14ac:dyDescent="0.25">
      <c r="A193" t="s">
        <v>130</v>
      </c>
    </row>
    <row r="194" spans="1:1" x14ac:dyDescent="0.25">
      <c r="A194" t="s">
        <v>131</v>
      </c>
    </row>
    <row r="195" spans="1:1" x14ac:dyDescent="0.25">
      <c r="A195" t="s">
        <v>132</v>
      </c>
    </row>
    <row r="196" spans="1:1" x14ac:dyDescent="0.25">
      <c r="A196" t="s">
        <v>133</v>
      </c>
    </row>
    <row r="197" spans="1:1" x14ac:dyDescent="0.25">
      <c r="A197" t="s">
        <v>134</v>
      </c>
    </row>
    <row r="198" spans="1:1" x14ac:dyDescent="0.25">
      <c r="A198" s="10" t="s">
        <v>232</v>
      </c>
    </row>
    <row r="199" spans="1:1" x14ac:dyDescent="0.25">
      <c r="A199" t="s">
        <v>135</v>
      </c>
    </row>
    <row r="200" spans="1:1" x14ac:dyDescent="0.25">
      <c r="A200" t="s">
        <v>149</v>
      </c>
    </row>
    <row r="201" spans="1:1" x14ac:dyDescent="0.25">
      <c r="A201" t="s">
        <v>136</v>
      </c>
    </row>
    <row r="202" spans="1:1" x14ac:dyDescent="0.25">
      <c r="A202" s="10" t="s">
        <v>251</v>
      </c>
    </row>
    <row r="203" spans="1:1" x14ac:dyDescent="0.25">
      <c r="A203" s="10" t="s">
        <v>254</v>
      </c>
    </row>
    <row r="204" spans="1:1" x14ac:dyDescent="0.25">
      <c r="A204" t="s">
        <v>137</v>
      </c>
    </row>
    <row r="205" spans="1:1" x14ac:dyDescent="0.25">
      <c r="A205" s="10" t="s">
        <v>192</v>
      </c>
    </row>
    <row r="206" spans="1:1" x14ac:dyDescent="0.25">
      <c r="A206" t="s">
        <v>138</v>
      </c>
    </row>
    <row r="207" spans="1:1" x14ac:dyDescent="0.25">
      <c r="A207" s="10" t="s">
        <v>233</v>
      </c>
    </row>
    <row r="208" spans="1:1" x14ac:dyDescent="0.25">
      <c r="A208" t="s">
        <v>139</v>
      </c>
    </row>
    <row r="209" spans="1:1" x14ac:dyDescent="0.25">
      <c r="A209" s="10" t="s">
        <v>234</v>
      </c>
    </row>
    <row r="210" spans="1:1" x14ac:dyDescent="0.25">
      <c r="A210" t="s">
        <v>140</v>
      </c>
    </row>
    <row r="211" spans="1:1" x14ac:dyDescent="0.25">
      <c r="A211" t="s">
        <v>141</v>
      </c>
    </row>
    <row r="212" spans="1:1" x14ac:dyDescent="0.25">
      <c r="A212" t="s">
        <v>142</v>
      </c>
    </row>
    <row r="213" spans="1:1" x14ac:dyDescent="0.25">
      <c r="A213" t="s">
        <v>143</v>
      </c>
    </row>
    <row r="214" spans="1:1" x14ac:dyDescent="0.25">
      <c r="A214" t="s">
        <v>144</v>
      </c>
    </row>
  </sheetData>
  <sortState xmlns:xlrd2="http://schemas.microsoft.com/office/spreadsheetml/2017/richdata2" ref="A1:A215">
    <sortCondition ref="A1:A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CPS</vt:lpstr>
      <vt:lpstr>Individual</vt:lpstr>
      <vt:lpstr>Active</vt:lpstr>
      <vt:lpstr>Country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Chekroud</dc:creator>
  <cp:lastModifiedBy>Christopher Jacques</cp:lastModifiedBy>
  <dcterms:created xsi:type="dcterms:W3CDTF">2024-06-18T07:39:51Z</dcterms:created>
  <dcterms:modified xsi:type="dcterms:W3CDTF">2025-06-16T13:57:24Z</dcterms:modified>
</cp:coreProperties>
</file>